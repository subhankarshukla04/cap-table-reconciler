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 Table" sheetId="1" state="visible" r:id="rId1"/>
    <sheet name="Side Letters" sheetId="2" state="visible" r:id="rId2"/>
    <sheet name="Converti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i val="1"/>
      <color rgb="006B7280"/>
      <sz val="10"/>
    </font>
    <font>
      <b val="1"/>
    </font>
    <font>
      <b val="1"/>
      <i val="1"/>
    </font>
    <font>
      <i val="1"/>
      <color rgb="006B7280"/>
      <sz val="9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3F4F6"/>
        <b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28" customWidth="1" min="3" max="3"/>
    <col width="16" customWidth="1" min="4" max="4"/>
    <col width="14" customWidth="1" min="5" max="5"/>
    <col width="14" customWidth="1" min="6" max="6"/>
    <col width="14" customWidth="1" min="7" max="7"/>
    <col width="80" customWidth="1" min="8" max="8"/>
  </cols>
  <sheetData>
    <row r="1">
      <c r="A1" s="1" t="inlineStr">
        <is>
          <t>Northwind Robotics, Inc.</t>
        </is>
      </c>
    </row>
    <row r="2">
      <c r="A2" s="2" t="inlineStr">
        <is>
          <t>Capitalization Table — Pro Forma as of April 30, 2026</t>
        </is>
      </c>
    </row>
    <row r="3">
      <c r="A3" s="3" t="inlineStr">
        <is>
          <t>Confidential — Prepared for Atlas Ventures and Series B Lead</t>
        </is>
      </c>
    </row>
    <row r="5">
      <c r="A5" s="4" t="inlineStr">
        <is>
          <t>Holder</t>
        </is>
      </c>
      <c r="B5" s="4" t="inlineStr">
        <is>
          <t>Class</t>
        </is>
      </c>
      <c r="C5" s="4" t="inlineStr">
        <is>
          <t>Class Type</t>
        </is>
      </c>
      <c r="D5" s="4" t="inlineStr">
        <is>
          <t>Issue Date</t>
        </is>
      </c>
      <c r="E5" s="4" t="inlineStr">
        <is>
          <t>Price per Share ($)</t>
        </is>
      </c>
      <c r="F5" s="4" t="inlineStr">
        <is>
          <t>Shares</t>
        </is>
      </c>
      <c r="G5" s="4" t="inlineStr">
        <is>
          <t>Fully Diluted %</t>
        </is>
      </c>
      <c r="H5" s="4" t="inlineStr">
        <is>
          <t>Notes</t>
        </is>
      </c>
    </row>
    <row r="6">
      <c r="A6" t="inlineStr">
        <is>
          <t>Alana Park (Co-founder, CEO)</t>
        </is>
      </c>
      <c r="B6" t="inlineStr">
        <is>
          <t>Founder Common (F)</t>
        </is>
      </c>
      <c r="C6" t="inlineStr">
        <is>
          <t>Common (super-voting)</t>
        </is>
      </c>
      <c r="D6" s="5" t="n">
        <v>44270</v>
      </c>
      <c r="E6" t="n">
        <v>0.0001</v>
      </c>
      <c r="F6" t="n">
        <v>2800000</v>
      </c>
      <c r="G6" s="6">
        <f>F6/$F$19</f>
        <v/>
      </c>
      <c r="H6" t="inlineStr">
        <is>
          <t>Class F super-voting (10x votes per share); identical economic rights to ordinary common</t>
        </is>
      </c>
    </row>
    <row r="7">
      <c r="A7" t="inlineStr">
        <is>
          <t>Mateus Silva (Co-founder, CTO)</t>
        </is>
      </c>
      <c r="B7" t="inlineStr">
        <is>
          <t>Founder Common (F)</t>
        </is>
      </c>
      <c r="C7" t="inlineStr">
        <is>
          <t>Common (super-voting)</t>
        </is>
      </c>
      <c r="D7" s="5" t="n">
        <v>44270</v>
      </c>
      <c r="E7" t="n">
        <v>0.0001</v>
      </c>
      <c r="F7" t="n">
        <v>2000000</v>
      </c>
      <c r="G7" s="6">
        <f>F7/$F$19</f>
        <v/>
      </c>
      <c r="H7" t="inlineStr">
        <is>
          <t>Class F super-voting (10x votes per share); identical economic rights to ordinary common</t>
        </is>
      </c>
    </row>
    <row r="8">
      <c r="A8" t="inlineStr">
        <is>
          <t>Lin Chen (Advisor)</t>
        </is>
      </c>
      <c r="B8" t="inlineStr">
        <is>
          <t>Common Stock</t>
        </is>
      </c>
      <c r="C8" t="inlineStr">
        <is>
          <t>Common</t>
        </is>
      </c>
      <c r="D8" s="5" t="n">
        <v>44805</v>
      </c>
      <c r="E8" t="n">
        <v>0.05</v>
      </c>
      <c r="F8" t="n">
        <v>250000</v>
      </c>
      <c r="G8" s="6">
        <f>F8/$F$19</f>
        <v/>
      </c>
      <c r="H8" t="inlineStr">
        <is>
          <t>Advisor grant; fully vested as of 2024-09-01</t>
        </is>
      </c>
    </row>
    <row r="9">
      <c r="A9" t="inlineStr">
        <is>
          <t>Aditya Bose (ex-engineer)</t>
        </is>
      </c>
      <c r="B9" t="inlineStr">
        <is>
          <t>Common Stock</t>
        </is>
      </c>
      <c r="C9" t="inlineStr">
        <is>
          <t>Common</t>
        </is>
      </c>
      <c r="D9" s="5" t="n">
        <v>45028</v>
      </c>
      <c r="E9" t="n">
        <v>0.2</v>
      </c>
      <c r="F9" t="n">
        <v>500000</v>
      </c>
      <c r="G9" s="6">
        <f>F9/$F$19</f>
        <v/>
      </c>
      <c r="H9" t="inlineStr">
        <is>
          <t>Exercised 500,000 ISO post-departure (2023 cashless exercise)</t>
        </is>
      </c>
    </row>
    <row r="10">
      <c r="A10" t="inlineStr">
        <is>
          <t>Series Seed Investors (3 angels, aggregated)</t>
        </is>
      </c>
      <c r="B10" t="inlineStr">
        <is>
          <t>Series Seed Preferred</t>
        </is>
      </c>
      <c r="C10" t="inlineStr">
        <is>
          <t>Preferred</t>
        </is>
      </c>
      <c r="D10" s="5" t="n">
        <v>44742</v>
      </c>
      <c r="E10" t="n">
        <v>0.65</v>
      </c>
      <c r="F10" t="n">
        <v>1650000</v>
      </c>
      <c r="G10" s="6">
        <f>F10/$F$19</f>
        <v/>
      </c>
      <c r="H10" t="inlineStr">
        <is>
          <t>1x non-participating LP, BBWA AD, 1:1 conversion; aggregate of 3 angel investors per Series Seed Stock Purchase Agreement</t>
        </is>
      </c>
    </row>
    <row r="11">
      <c r="A11" t="inlineStr">
        <is>
          <t>Series A Investors (4 firms)</t>
        </is>
      </c>
      <c r="B11" t="inlineStr">
        <is>
          <t>Series A Preferred</t>
        </is>
      </c>
      <c r="C11" t="inlineStr">
        <is>
          <t>Preferred</t>
        </is>
      </c>
      <c r="D11" s="5" t="n">
        <v>45336</v>
      </c>
      <c r="E11" t="n">
        <v>1.85</v>
      </c>
      <c r="F11" t="n">
        <v>2400000</v>
      </c>
      <c r="G11" s="6">
        <f>F11/$F$19</f>
        <v/>
      </c>
      <c r="H11" t="inlineStr">
        <is>
          <t>1x non-participating LP, BBWA AD, 1:1 conversion</t>
        </is>
      </c>
    </row>
    <row r="12">
      <c r="A12" t="inlineStr">
        <is>
          <t>Atlas Ventures + co-leads</t>
        </is>
      </c>
      <c r="B12" t="inlineStr">
        <is>
          <t>Series B-1 Preferred</t>
        </is>
      </c>
      <c r="C12" t="inlineStr">
        <is>
          <t>Preferred</t>
        </is>
      </c>
      <c r="D12" t="inlineStr">
        <is>
          <t>April 15, 2026</t>
        </is>
      </c>
      <c r="E12" t="n">
        <v>4.2</v>
      </c>
      <c r="F12" t="n">
        <v>1800000</v>
      </c>
      <c r="G12" s="6">
        <f>F12/$F$19</f>
        <v/>
      </c>
      <c r="H12" t="inlineStr">
        <is>
          <t>1x non-participating LP, BBWA AD, 1:1 conversion; pari passu with B-2 in seniority</t>
        </is>
      </c>
    </row>
    <row r="13">
      <c r="A13" t="inlineStr">
        <is>
          <t>Pinnacle Strategic Investments LLC</t>
        </is>
      </c>
      <c r="B13" t="inlineStr">
        <is>
          <t>Series B-2 Preferred</t>
        </is>
      </c>
      <c r="C13" t="inlineStr">
        <is>
          <t>Preferred (Strategic side-car)</t>
        </is>
      </c>
      <c r="D13" t="inlineStr">
        <is>
          <t>April 15, 2026</t>
        </is>
      </c>
      <c r="E13" t="n">
        <v>4.2</v>
      </c>
      <c r="F13" t="n">
        <v>600000</v>
      </c>
      <c r="G13" s="6">
        <f>F13/$F$19</f>
        <v/>
      </c>
      <c r="H13" t="inlineStr">
        <is>
          <t>1.5x non-participating LP, BBWA AD, 1:1 conversion; pari passu with B-1 in seniority but with sweetened LP multiple per Pinnacle side letter</t>
        </is>
      </c>
    </row>
    <row r="14">
      <c r="A14" t="inlineStr">
        <is>
          <t>ESOP Granted (19 employees, various dates)</t>
        </is>
      </c>
      <c r="B14" t="inlineStr">
        <is>
          <t>Common Stock — ISOs (granted)</t>
        </is>
      </c>
      <c r="C14" t="inlineStr">
        <is>
          <t>Common (Options Pool)</t>
        </is>
      </c>
      <c r="D14" s="5" t="n">
        <v>44713</v>
      </c>
      <c r="E14" t="n">
        <v>1.1</v>
      </c>
      <c r="F14" t="n">
        <v>420000</v>
      </c>
      <c r="G14" s="6">
        <f>F14/$F$19</f>
        <v/>
      </c>
      <c r="H14" t="inlineStr">
        <is>
          <t>Grants made 2022-06 through 2026-04; current FMV $1.10 per 12/31/2025 409A; 4-year vest with 1-year cliff</t>
        </is>
      </c>
    </row>
    <row r="15">
      <c r="A15" t="inlineStr">
        <is>
          <t>ESOP Reserved (refresh per Series B closing)</t>
        </is>
      </c>
      <c r="B15" t="inlineStr">
        <is>
          <t>Common Stock — ISOs (reserved)</t>
        </is>
      </c>
      <c r="C15" t="inlineStr">
        <is>
          <t>Common (Options Pool)</t>
        </is>
      </c>
      <c r="F15" t="n">
        <v>380000</v>
      </c>
      <c r="G15" s="6">
        <f>F15/$F$19</f>
        <v/>
      </c>
      <c r="H15" t="inlineStr">
        <is>
          <t>Reserved per Series B-1 closing condition; not yet granted</t>
        </is>
      </c>
    </row>
    <row r="16">
      <c r="A16" s="7" t="inlineStr">
        <is>
          <t>Subtotal — Common Stock</t>
        </is>
      </c>
      <c r="F16" s="8" t="n">
        <v>5550000</v>
      </c>
    </row>
    <row r="17">
      <c r="A17" s="7" t="inlineStr">
        <is>
          <t>Subtotal — Preferred Stock</t>
        </is>
      </c>
      <c r="F17" s="8" t="n">
        <v>6450000</v>
      </c>
    </row>
    <row r="18">
      <c r="A18" s="7" t="inlineStr">
        <is>
          <t>Subtotal — Options Pool</t>
        </is>
      </c>
      <c r="F18" s="8" t="n">
        <v>800000</v>
      </c>
    </row>
    <row r="19">
      <c r="A19" s="8" t="inlineStr">
        <is>
          <t>Total Issued + Reserved (FD basis)</t>
        </is>
      </c>
      <c r="F19" s="8" t="n">
        <v>12800000</v>
      </c>
    </row>
    <row r="21">
      <c r="A21" s="9" t="inlineStr">
        <is>
          <t>(1) See "Side Letters" tab for material side-letter terms (Atlas MFN + observer; Pinnacle ROFR).</t>
        </is>
      </c>
    </row>
    <row r="22">
      <c r="A22" s="9" t="inlineStr">
        <is>
          <t>(2) See "Convertibles" tab for outstanding SAFE and warrant detail.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Side Letters — Material Terms Summary</t>
        </is>
      </c>
    </row>
    <row r="3">
      <c r="A3" s="8" t="inlineStr">
        <is>
          <t>SL-01: Atlas Ventures — MFN + Board Observer</t>
        </is>
      </c>
    </row>
    <row r="4" ht="80" customHeight="1">
      <c r="A4" s="11" t="inlineStr">
        <is>
          <t>If, in any subsequent priced round prior to a Qualified IPO, the Company grants any holder of preferred stock economic terms more favorable than the Series B-1 1x non-participating preference (excluding the Series B-2 1.5x preference granted concurrently with the Series B-1 closing), the Series B-1 holders shall be entitled to elect such terms. Atlas Ventures shall additionally have the right to designate one (1) board observer.</t>
        </is>
      </c>
    </row>
    <row r="6">
      <c r="A6" s="8" t="inlineStr">
        <is>
          <t>SL-02: Pinnacle Strategic — ROFR + Commercial Intent</t>
        </is>
      </c>
    </row>
    <row r="7" ht="80" customHeight="1">
      <c r="A7" s="11" t="inlineStr">
        <is>
          <t>Pinnacle shall have a right of first refusal on any future financing rounds at Series B-1 or earlier seniority, exercisable for up to 25% of the round. Pinnacle shall additionally have a non-binding commercial intent to integrate Northwind robotics into Pinnacle's logistics network upon achievement of $5M ARR.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0" t="inlineStr">
        <is>
          <t>Outstanding Convertible Instruments</t>
        </is>
      </c>
    </row>
    <row r="3">
      <c r="A3" s="8" t="inlineStr">
        <is>
          <t>SAFE — Pinnacle Strategic Investments LLC</t>
        </is>
      </c>
    </row>
    <row r="4" ht="18" customHeight="1">
      <c r="A4" s="8" t="inlineStr">
        <is>
          <t>Issued</t>
        </is>
      </c>
      <c r="B4" t="inlineStr">
        <is>
          <t>2025-11-30</t>
        </is>
      </c>
    </row>
    <row r="5" ht="18" customHeight="1">
      <c r="A5" s="8" t="inlineStr">
        <is>
          <t>Principal</t>
        </is>
      </c>
      <c r="B5" t="inlineStr">
        <is>
          <t>$750,000</t>
        </is>
      </c>
    </row>
    <row r="6" ht="18" customHeight="1">
      <c r="A6" s="8" t="inlineStr">
        <is>
          <t>Form</t>
        </is>
      </c>
      <c r="B6" t="inlineStr">
        <is>
          <t>Y Combinator post-money standard SAFE</t>
        </is>
      </c>
    </row>
    <row r="7" ht="18" customHeight="1">
      <c r="A7" s="8" t="inlineStr">
        <is>
          <t>Valuation cap</t>
        </is>
      </c>
      <c r="B7" t="inlineStr">
        <is>
          <t>$30,000,000 post-money</t>
        </is>
      </c>
    </row>
    <row r="8" ht="18" customHeight="1">
      <c r="A8" s="8" t="inlineStr">
        <is>
          <t>Discount</t>
        </is>
      </c>
      <c r="B8" t="inlineStr">
        <is>
          <t>20%</t>
        </is>
      </c>
    </row>
    <row r="9" ht="18" customHeight="1">
      <c r="A9" s="8" t="inlineStr">
        <is>
          <t>MFN</t>
        </is>
      </c>
      <c r="B9" t="inlineStr">
        <is>
          <t>Yes</t>
        </is>
      </c>
    </row>
    <row r="10" ht="18" customHeight="1">
      <c r="A10" s="8" t="inlineStr">
        <is>
          <t>Conversion event</t>
        </is>
      </c>
      <c r="B10" t="inlineStr">
        <is>
          <t>Equity Financing (priced round)</t>
        </is>
      </c>
    </row>
    <row r="11" ht="64" customHeight="1">
      <c r="A11" s="8" t="inlineStr">
        <is>
          <t>Status at 2026-04-30</t>
        </is>
      </c>
      <c r="B11" t="inlineStr">
        <is>
          <t>NOT converted — SAFE language carved out "side-car priced participations" from the Series B-1 closing; the legal opinion on whether the Series B-2 closing triggers conversion is pending. Analyst should resolve before relying on the cap table for valuation.</t>
        </is>
      </c>
    </row>
    <row r="12" ht="18" customHeight="1"/>
    <row r="13" ht="18" customHeight="1"/>
    <row r="14" ht="18" customHeight="1">
      <c r="A14" s="8" t="inlineStr">
        <is>
          <t>Warrant — Hercules Capital</t>
        </is>
      </c>
    </row>
    <row r="15" ht="18" customHeight="1">
      <c r="A15" s="8" t="inlineStr">
        <is>
          <t>Issued</t>
        </is>
      </c>
      <c r="B15" t="inlineStr">
        <is>
          <t>2025-08-04</t>
        </is>
      </c>
    </row>
    <row r="16" ht="18" customHeight="1">
      <c r="A16" s="8" t="inlineStr">
        <is>
          <t>Underlying class</t>
        </is>
      </c>
      <c r="B16" t="inlineStr">
        <is>
          <t>Series A Preferred</t>
        </is>
      </c>
    </row>
    <row r="17" ht="18" customHeight="1">
      <c r="A17" s="8" t="inlineStr">
        <is>
          <t>Strike price</t>
        </is>
      </c>
      <c r="B17" t="inlineStr">
        <is>
          <t>$1.85 per share</t>
        </is>
      </c>
    </row>
    <row r="18" ht="18" customHeight="1">
      <c r="A18" s="8" t="inlineStr">
        <is>
          <t>Shares</t>
        </is>
      </c>
      <c r="B18" t="inlineStr">
        <is>
          <t>75,000</t>
        </is>
      </c>
    </row>
    <row r="19" ht="18" customHeight="1">
      <c r="A19" s="8" t="inlineStr">
        <is>
          <t>Tenor</t>
        </is>
      </c>
      <c r="B19" t="inlineStr">
        <is>
          <t>7 years (expires 2032-08-04)</t>
        </is>
      </c>
    </row>
    <row r="20" ht="18" customHeight="1">
      <c r="A20" s="8" t="inlineStr">
        <is>
          <t>Trigger</t>
        </is>
      </c>
      <c r="B20" t="inlineStr">
        <is>
          <t>Cashless exercise upon Qualified IPO or change of control</t>
        </is>
      </c>
    </row>
    <row r="21" ht="18" customHeight="1">
      <c r="A21" s="8" t="inlineStr">
        <is>
          <t>Source</t>
        </is>
      </c>
      <c r="B21" t="inlineStr">
        <is>
          <t>Hercules Capital venture-debt facility, $3.0M term loan dated 2025-08-04</t>
        </is>
      </c>
    </row>
    <row r="22" ht="1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2026-05-07T14:45:15Z</dcterms:created>
  <dcterms:modified xsi:type="dcterms:W3CDTF">2026-05-07T14:45:15Z</dcterms:modified>
</cp:coreProperties>
</file>